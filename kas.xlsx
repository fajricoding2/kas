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MPULAN TUGAS\kas musholla\kas\"/>
    </mc:Choice>
  </mc:AlternateContent>
  <xr:revisionPtr revIDLastSave="0" documentId="13_ncr:1_{84FBDDEF-8303-4F12-821E-1E94C4E4EA80}" xr6:coauthVersionLast="47" xr6:coauthVersionMax="47" xr10:uidLastSave="{00000000-0000-0000-0000-000000000000}"/>
  <bookViews>
    <workbookView xWindow="-110" yWindow="-110" windowWidth="19420" windowHeight="10420" xr2:uid="{0497A79C-2985-4487-AEE7-CEAA57854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" l="1"/>
  <c r="H19" i="1"/>
  <c r="G19" i="1"/>
  <c r="F19" i="1"/>
  <c r="E19" i="1"/>
  <c r="D19" i="1"/>
  <c r="C19" i="1"/>
  <c r="L45" i="1"/>
  <c r="D21" i="1" l="1"/>
  <c r="D24" i="1" s="1"/>
</calcChain>
</file>

<file path=xl/sharedStrings.xml><?xml version="1.0" encoding="utf-8"?>
<sst xmlns="http://schemas.openxmlformats.org/spreadsheetml/2006/main" count="42" uniqueCount="33">
  <si>
    <t>data kas</t>
  </si>
  <si>
    <t>bulan</t>
  </si>
  <si>
    <t>nama</t>
  </si>
  <si>
    <t>september</t>
  </si>
  <si>
    <t>oktober</t>
  </si>
  <si>
    <t>october</t>
  </si>
  <si>
    <t>november</t>
  </si>
  <si>
    <t>december</t>
  </si>
  <si>
    <t>january</t>
  </si>
  <si>
    <t>february</t>
  </si>
  <si>
    <t>march</t>
  </si>
  <si>
    <t>ridwan</t>
  </si>
  <si>
    <t>roro</t>
  </si>
  <si>
    <t>randa</t>
  </si>
  <si>
    <t>fajri</t>
  </si>
  <si>
    <t>luthfi</t>
  </si>
  <si>
    <t>rasyid</t>
  </si>
  <si>
    <t>total</t>
  </si>
  <si>
    <t>total uang masuk</t>
  </si>
  <si>
    <t>uang bulanan</t>
  </si>
  <si>
    <t>pengluaran</t>
  </si>
  <si>
    <t>no</t>
  </si>
  <si>
    <t>harga</t>
  </si>
  <si>
    <t>keterangan</t>
  </si>
  <si>
    <t>total pengeluaran</t>
  </si>
  <si>
    <t>uang saat ini =</t>
  </si>
  <si>
    <t>bg ade</t>
  </si>
  <si>
    <t>tanggal</t>
  </si>
  <si>
    <t>beli galon(fajri)</t>
  </si>
  <si>
    <t>beli galon(rasyid)</t>
  </si>
  <si>
    <t>beli galon(lutfi)</t>
  </si>
  <si>
    <t>beli plastik sampah</t>
  </si>
  <si>
    <t>beli kran air 2buah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</si>
</sst>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_-[$Rp-421]* #,##0.00_-;\-[$Rp-421]* #,##0.00_-;_-[$Rp-421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0" fillId="4" borderId="0" xfId="0" applyFill="1" applyBorder="1"/>
    <xf numFmtId="0" fontId="0" fillId="4" borderId="0" xfId="0" applyFill="1"/>
    <xf numFmtId="0" fontId="0" fillId="2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2" borderId="1" xfId="0" applyFill="1" applyBorder="1" applyAlignment="1"/>
    <xf numFmtId="14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7C2A-AD42-481C-B3CA-00529EEC8A2E}">
  <dimension ref="B1:N45"/>
  <sheetViews>
    <sheetView tabSelected="1" topLeftCell="B7" workbookViewId="0">
      <selection activeCell="F24" sqref="F24"/>
    </sheetView>
  </sheetViews>
  <sheetFormatPr defaultRowHeight="14.5" x14ac:dyDescent="0.35"/>
  <cols>
    <col min="2" max="2" width="10.54296875" customWidth="1"/>
    <col min="3" max="3" width="11.26953125" bestFit="1" customWidth="1"/>
    <col min="4" max="4" width="13.54296875" customWidth="1"/>
    <col min="5" max="5" width="12.26953125" bestFit="1" customWidth="1"/>
    <col min="6" max="7" width="12.7265625" customWidth="1"/>
    <col min="8" max="9" width="12.26953125" bestFit="1" customWidth="1"/>
    <col min="11" max="11" width="11" bestFit="1" customWidth="1"/>
    <col min="12" max="12" width="16.26953125" customWidth="1"/>
    <col min="14" max="14" width="20.1796875" customWidth="1"/>
  </cols>
  <sheetData>
    <row r="1" spans="2:14" x14ac:dyDescent="0.35">
      <c r="J1" t="s">
        <v>0</v>
      </c>
    </row>
    <row r="3" spans="2:14" x14ac:dyDescent="0.35">
      <c r="D3" s="16" t="s">
        <v>19</v>
      </c>
      <c r="E3" s="16"/>
      <c r="M3" s="17" t="s">
        <v>20</v>
      </c>
      <c r="N3" s="17"/>
    </row>
    <row r="4" spans="2:14" x14ac:dyDescent="0.35">
      <c r="B4" s="15" t="s">
        <v>1</v>
      </c>
      <c r="C4" s="13" t="s">
        <v>2</v>
      </c>
      <c r="D4" s="13"/>
      <c r="E4" s="13"/>
      <c r="F4" s="13"/>
      <c r="G4" s="13"/>
      <c r="H4" s="13"/>
      <c r="I4" s="7"/>
      <c r="K4" s="7" t="s">
        <v>21</v>
      </c>
      <c r="L4" s="7" t="s">
        <v>22</v>
      </c>
      <c r="M4" s="7" t="s">
        <v>23</v>
      </c>
      <c r="N4" s="7" t="s">
        <v>27</v>
      </c>
    </row>
    <row r="5" spans="2:14" x14ac:dyDescent="0.35">
      <c r="B5" s="15"/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26</v>
      </c>
      <c r="K5" s="2">
        <v>1</v>
      </c>
      <c r="L5" s="8">
        <v>5000</v>
      </c>
      <c r="M5" s="2" t="s">
        <v>29</v>
      </c>
      <c r="N5" s="14">
        <v>46304</v>
      </c>
    </row>
    <row r="6" spans="2:14" x14ac:dyDescent="0.35">
      <c r="B6" s="1" t="s">
        <v>3</v>
      </c>
      <c r="C6" s="9"/>
      <c r="D6" s="9">
        <v>25000</v>
      </c>
      <c r="E6" s="9">
        <v>25000</v>
      </c>
      <c r="F6" s="9">
        <v>25000</v>
      </c>
      <c r="G6" s="9">
        <v>25000</v>
      </c>
      <c r="H6" s="9">
        <v>10000</v>
      </c>
      <c r="I6" s="9">
        <v>25000</v>
      </c>
      <c r="K6" s="2">
        <v>2</v>
      </c>
      <c r="L6" s="8">
        <v>5000</v>
      </c>
      <c r="M6" s="2" t="s">
        <v>29</v>
      </c>
      <c r="N6" s="14">
        <v>46280</v>
      </c>
    </row>
    <row r="7" spans="2:14" x14ac:dyDescent="0.35">
      <c r="B7" s="1" t="s">
        <v>4</v>
      </c>
      <c r="C7" s="9"/>
      <c r="D7" s="9"/>
      <c r="E7" s="9">
        <v>25000</v>
      </c>
      <c r="F7" s="9">
        <v>25000</v>
      </c>
      <c r="G7" s="9">
        <v>25000</v>
      </c>
      <c r="H7" s="9"/>
      <c r="I7" s="9"/>
      <c r="K7" s="2">
        <v>3</v>
      </c>
      <c r="L7" s="8">
        <v>5000</v>
      </c>
      <c r="M7" s="2" t="s">
        <v>28</v>
      </c>
      <c r="N7" s="14">
        <v>46284</v>
      </c>
    </row>
    <row r="8" spans="2:14" x14ac:dyDescent="0.35">
      <c r="B8" s="1" t="s">
        <v>5</v>
      </c>
      <c r="C8" s="9"/>
      <c r="D8" s="9"/>
      <c r="E8" s="9"/>
      <c r="F8" s="9"/>
      <c r="G8" s="9"/>
      <c r="H8" s="9"/>
      <c r="I8" s="9"/>
      <c r="K8" s="2">
        <v>4</v>
      </c>
      <c r="L8" s="8">
        <v>5000</v>
      </c>
      <c r="M8" s="2" t="s">
        <v>30</v>
      </c>
      <c r="N8" s="14">
        <v>46289</v>
      </c>
    </row>
    <row r="9" spans="2:14" x14ac:dyDescent="0.35">
      <c r="B9" s="1" t="s">
        <v>4</v>
      </c>
      <c r="C9" s="9"/>
      <c r="D9" s="9"/>
      <c r="E9" s="9"/>
      <c r="F9" s="9"/>
      <c r="G9" s="9"/>
      <c r="H9" s="9"/>
      <c r="I9" s="9"/>
      <c r="K9" s="2">
        <v>5</v>
      </c>
      <c r="L9" s="8">
        <v>5000</v>
      </c>
      <c r="M9" s="2" t="s">
        <v>28</v>
      </c>
      <c r="N9" s="14">
        <v>46294</v>
      </c>
    </row>
    <row r="10" spans="2:14" x14ac:dyDescent="0.35">
      <c r="B10" s="1" t="s">
        <v>6</v>
      </c>
      <c r="C10" s="9"/>
      <c r="D10" s="9"/>
      <c r="E10" s="9"/>
      <c r="F10" s="9"/>
      <c r="G10" s="9"/>
      <c r="H10" s="9"/>
      <c r="I10" s="9"/>
      <c r="K10" s="2">
        <v>6</v>
      </c>
      <c r="L10" s="8">
        <v>30000</v>
      </c>
      <c r="M10" s="2" t="s">
        <v>31</v>
      </c>
      <c r="N10" s="14">
        <v>46299</v>
      </c>
    </row>
    <row r="11" spans="2:14" x14ac:dyDescent="0.35">
      <c r="B11" s="1" t="s">
        <v>4</v>
      </c>
      <c r="C11" s="9"/>
      <c r="D11" s="9"/>
      <c r="E11" s="9"/>
      <c r="F11" s="9"/>
      <c r="G11" s="9"/>
      <c r="H11" s="9"/>
      <c r="I11" s="9"/>
      <c r="K11" s="2">
        <v>7</v>
      </c>
      <c r="L11" s="8">
        <v>26000</v>
      </c>
      <c r="M11" s="2" t="s">
        <v>32</v>
      </c>
      <c r="N11" s="14">
        <v>46299</v>
      </c>
    </row>
    <row r="12" spans="2:14" x14ac:dyDescent="0.35">
      <c r="B12" s="1" t="s">
        <v>7</v>
      </c>
      <c r="C12" s="9"/>
      <c r="D12" s="9"/>
      <c r="E12" s="9"/>
      <c r="F12" s="9"/>
      <c r="G12" s="9"/>
      <c r="H12" s="9"/>
      <c r="I12" s="9"/>
      <c r="K12" s="2">
        <v>8</v>
      </c>
      <c r="L12" s="8">
        <v>5000</v>
      </c>
      <c r="M12" s="2" t="s">
        <v>28</v>
      </c>
      <c r="N12" s="14">
        <v>46299</v>
      </c>
    </row>
    <row r="13" spans="2:14" x14ac:dyDescent="0.35">
      <c r="B13" s="1" t="s">
        <v>4</v>
      </c>
      <c r="C13" s="9"/>
      <c r="D13" s="9"/>
      <c r="E13" s="9"/>
      <c r="F13" s="9"/>
      <c r="G13" s="9"/>
      <c r="H13" s="9"/>
      <c r="I13" s="9"/>
      <c r="K13" s="2">
        <v>9</v>
      </c>
      <c r="L13" s="8">
        <v>5000</v>
      </c>
      <c r="M13" s="2" t="s">
        <v>28</v>
      </c>
      <c r="N13" s="14">
        <v>46304</v>
      </c>
    </row>
    <row r="14" spans="2:14" x14ac:dyDescent="0.35">
      <c r="B14" s="1" t="s">
        <v>8</v>
      </c>
      <c r="C14" s="9"/>
      <c r="D14" s="9"/>
      <c r="E14" s="9"/>
      <c r="F14" s="9"/>
      <c r="G14" s="9"/>
      <c r="H14" s="9"/>
      <c r="I14" s="9"/>
      <c r="K14" s="2">
        <v>10</v>
      </c>
      <c r="L14" s="8"/>
      <c r="M14" s="2"/>
      <c r="N14" s="2"/>
    </row>
    <row r="15" spans="2:14" x14ac:dyDescent="0.35">
      <c r="B15" s="1" t="s">
        <v>4</v>
      </c>
      <c r="C15" s="9"/>
      <c r="D15" s="9"/>
      <c r="E15" s="9"/>
      <c r="F15" s="9"/>
      <c r="G15" s="9"/>
      <c r="H15" s="9"/>
      <c r="I15" s="9"/>
      <c r="K15" s="2">
        <v>11</v>
      </c>
      <c r="L15" s="8"/>
      <c r="M15" s="2"/>
      <c r="N15" s="2"/>
    </row>
    <row r="16" spans="2:14" x14ac:dyDescent="0.35">
      <c r="B16" s="1" t="s">
        <v>9</v>
      </c>
      <c r="C16" s="9"/>
      <c r="D16" s="9"/>
      <c r="E16" s="9"/>
      <c r="F16" s="9"/>
      <c r="G16" s="9"/>
      <c r="H16" s="9"/>
      <c r="I16" s="9"/>
      <c r="K16" s="2">
        <v>12</v>
      </c>
      <c r="L16" s="8"/>
      <c r="M16" s="2"/>
      <c r="N16" s="2"/>
    </row>
    <row r="17" spans="2:14" x14ac:dyDescent="0.35">
      <c r="B17" s="1" t="s">
        <v>4</v>
      </c>
      <c r="C17" s="9"/>
      <c r="D17" s="9"/>
      <c r="E17" s="9"/>
      <c r="F17" s="9"/>
      <c r="G17" s="9"/>
      <c r="H17" s="9"/>
      <c r="I17" s="9"/>
      <c r="K17" s="2">
        <v>13</v>
      </c>
      <c r="L17" s="8"/>
      <c r="M17" s="2"/>
      <c r="N17" s="2"/>
    </row>
    <row r="18" spans="2:14" x14ac:dyDescent="0.35">
      <c r="B18" s="1" t="s">
        <v>10</v>
      </c>
      <c r="C18" s="9"/>
      <c r="D18" s="9"/>
      <c r="E18" s="9"/>
      <c r="F18" s="9"/>
      <c r="G18" s="9"/>
      <c r="H18" s="9"/>
      <c r="I18" s="9"/>
      <c r="K18" s="2">
        <v>14</v>
      </c>
      <c r="L18" s="8"/>
      <c r="M18" s="2"/>
      <c r="N18" s="2"/>
    </row>
    <row r="19" spans="2:14" x14ac:dyDescent="0.35">
      <c r="B19" s="4" t="s">
        <v>17</v>
      </c>
      <c r="C19" s="9">
        <f t="shared" ref="C19:H19" si="0">SUM(C6:C18)</f>
        <v>0</v>
      </c>
      <c r="D19" s="9">
        <f t="shared" si="0"/>
        <v>25000</v>
      </c>
      <c r="E19" s="9">
        <f t="shared" si="0"/>
        <v>50000</v>
      </c>
      <c r="F19" s="9">
        <f t="shared" si="0"/>
        <v>50000</v>
      </c>
      <c r="G19" s="9">
        <f t="shared" si="0"/>
        <v>50000</v>
      </c>
      <c r="H19" s="9">
        <f t="shared" si="0"/>
        <v>10000</v>
      </c>
      <c r="I19" s="9">
        <f>SUM(I6:I18)</f>
        <v>25000</v>
      </c>
      <c r="K19" s="2">
        <v>15</v>
      </c>
      <c r="L19" s="8"/>
      <c r="M19" s="2"/>
      <c r="N19" s="2"/>
    </row>
    <row r="20" spans="2:14" x14ac:dyDescent="0.35">
      <c r="K20" s="2">
        <v>16</v>
      </c>
      <c r="L20" s="8"/>
      <c r="M20" s="2"/>
      <c r="N20" s="2"/>
    </row>
    <row r="21" spans="2:14" x14ac:dyDescent="0.35">
      <c r="B21" s="5" t="s">
        <v>18</v>
      </c>
      <c r="C21" s="6"/>
      <c r="D21" s="10">
        <f>SUM(C19:I19)</f>
        <v>210000</v>
      </c>
      <c r="K21" s="2">
        <v>17</v>
      </c>
      <c r="L21" s="8"/>
      <c r="M21" s="2"/>
      <c r="N21" s="2"/>
    </row>
    <row r="22" spans="2:14" x14ac:dyDescent="0.35">
      <c r="K22" s="2">
        <v>18</v>
      </c>
      <c r="L22" s="8"/>
      <c r="M22" s="2"/>
      <c r="N22" s="2"/>
    </row>
    <row r="23" spans="2:14" x14ac:dyDescent="0.35">
      <c r="K23" s="2">
        <v>19</v>
      </c>
      <c r="L23" s="8"/>
      <c r="M23" s="2"/>
      <c r="N23" s="2"/>
    </row>
    <row r="24" spans="2:14" x14ac:dyDescent="0.35">
      <c r="B24" s="18" t="s">
        <v>25</v>
      </c>
      <c r="C24" s="18"/>
      <c r="D24" s="10">
        <f>D21-L45</f>
        <v>119000</v>
      </c>
      <c r="K24" s="2">
        <v>20</v>
      </c>
      <c r="L24" s="8"/>
      <c r="M24" s="2"/>
      <c r="N24" s="2"/>
    </row>
    <row r="25" spans="2:14" x14ac:dyDescent="0.35">
      <c r="K25" s="2">
        <v>21</v>
      </c>
      <c r="L25" s="8"/>
      <c r="M25" s="2"/>
      <c r="N25" s="2"/>
    </row>
    <row r="26" spans="2:14" x14ac:dyDescent="0.35">
      <c r="K26" s="2">
        <v>22</v>
      </c>
      <c r="L26" s="8"/>
      <c r="M26" s="2"/>
      <c r="N26" s="2"/>
    </row>
    <row r="27" spans="2:14" x14ac:dyDescent="0.35">
      <c r="K27" s="2">
        <v>23</v>
      </c>
      <c r="L27" s="8"/>
      <c r="M27" s="2"/>
      <c r="N27" s="2"/>
    </row>
    <row r="28" spans="2:14" x14ac:dyDescent="0.35">
      <c r="K28" s="2">
        <v>24</v>
      </c>
      <c r="L28" s="8"/>
      <c r="M28" s="2"/>
      <c r="N28" s="2"/>
    </row>
    <row r="29" spans="2:14" x14ac:dyDescent="0.35">
      <c r="K29" s="2">
        <v>25</v>
      </c>
      <c r="L29" s="8"/>
      <c r="M29" s="2"/>
      <c r="N29" s="2"/>
    </row>
    <row r="30" spans="2:14" x14ac:dyDescent="0.35">
      <c r="K30" s="2">
        <v>26</v>
      </c>
      <c r="L30" s="8"/>
      <c r="M30" s="2"/>
      <c r="N30" s="2"/>
    </row>
    <row r="31" spans="2:14" x14ac:dyDescent="0.35">
      <c r="K31" s="2">
        <v>27</v>
      </c>
      <c r="L31" s="8"/>
      <c r="M31" s="2"/>
      <c r="N31" s="2"/>
    </row>
    <row r="32" spans="2:14" x14ac:dyDescent="0.35">
      <c r="K32" s="2">
        <v>28</v>
      </c>
      <c r="L32" s="8"/>
      <c r="M32" s="2"/>
      <c r="N32" s="2"/>
    </row>
    <row r="33" spans="11:14" x14ac:dyDescent="0.35">
      <c r="K33" s="2">
        <v>29</v>
      </c>
      <c r="L33" s="8"/>
      <c r="M33" s="2"/>
      <c r="N33" s="2"/>
    </row>
    <row r="34" spans="11:14" x14ac:dyDescent="0.35">
      <c r="K34" s="2">
        <v>30</v>
      </c>
      <c r="L34" s="8"/>
      <c r="M34" s="2"/>
      <c r="N34" s="2"/>
    </row>
    <row r="35" spans="11:14" x14ac:dyDescent="0.35">
      <c r="K35" s="2">
        <v>31</v>
      </c>
      <c r="L35" s="8"/>
      <c r="M35" s="2"/>
      <c r="N35" s="2"/>
    </row>
    <row r="36" spans="11:14" x14ac:dyDescent="0.35">
      <c r="K36" s="2">
        <v>32</v>
      </c>
      <c r="L36" s="8"/>
      <c r="M36" s="2"/>
      <c r="N36" s="2"/>
    </row>
    <row r="37" spans="11:14" x14ac:dyDescent="0.35">
      <c r="K37" s="2">
        <v>33</v>
      </c>
      <c r="L37" s="8"/>
      <c r="M37" s="2"/>
      <c r="N37" s="2"/>
    </row>
    <row r="38" spans="11:14" x14ac:dyDescent="0.35">
      <c r="K38" s="2">
        <v>34</v>
      </c>
      <c r="L38" s="8"/>
      <c r="M38" s="2"/>
      <c r="N38" s="2"/>
    </row>
    <row r="39" spans="11:14" x14ac:dyDescent="0.35">
      <c r="K39" s="2">
        <v>35</v>
      </c>
      <c r="L39" s="8"/>
      <c r="M39" s="2"/>
      <c r="N39" s="2"/>
    </row>
    <row r="40" spans="11:14" x14ac:dyDescent="0.35">
      <c r="K40" s="2">
        <v>36</v>
      </c>
      <c r="L40" s="8"/>
      <c r="M40" s="2"/>
      <c r="N40" s="2"/>
    </row>
    <row r="41" spans="11:14" x14ac:dyDescent="0.35">
      <c r="K41" s="2">
        <v>37</v>
      </c>
      <c r="L41" s="8"/>
      <c r="M41" s="2"/>
      <c r="N41" s="2"/>
    </row>
    <row r="42" spans="11:14" x14ac:dyDescent="0.35">
      <c r="K42" s="2">
        <v>38</v>
      </c>
      <c r="L42" s="8"/>
      <c r="M42" s="2"/>
      <c r="N42" s="2"/>
    </row>
    <row r="43" spans="11:14" x14ac:dyDescent="0.35">
      <c r="K43" s="2">
        <v>39</v>
      </c>
      <c r="L43" s="8"/>
      <c r="M43" s="2"/>
      <c r="N43" s="2"/>
    </row>
    <row r="44" spans="11:14" x14ac:dyDescent="0.35">
      <c r="K44" s="2">
        <v>40</v>
      </c>
      <c r="L44" s="8"/>
      <c r="M44" s="2"/>
      <c r="N44" s="2"/>
    </row>
    <row r="45" spans="11:14" x14ac:dyDescent="0.35">
      <c r="K45" s="2" t="s">
        <v>24</v>
      </c>
      <c r="L45" s="11">
        <f>SUM(L5:L44)</f>
        <v>91000</v>
      </c>
      <c r="M45" s="12"/>
      <c r="N45" s="2"/>
    </row>
  </sheetData>
  <mergeCells count="4">
    <mergeCell ref="B4:B5"/>
    <mergeCell ref="D3:E3"/>
    <mergeCell ref="M3:N3"/>
    <mergeCell ref="B24:C24"/>
  </mergeCells>
  <phoneticPr fontId="2" type="noConversion"/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fajri akbar</dc:creator>
  <cp:lastModifiedBy>fajri akbar</cp:lastModifiedBy>
  <dcterms:created xsi:type="dcterms:W3CDTF">2026-09-12T12:27:11Z</dcterms:created>
  <dcterms:modified xsi:type="dcterms:W3CDTF">2026-10-11T09:54:11Z</dcterms:modified>
</cp:coreProperties>
</file>